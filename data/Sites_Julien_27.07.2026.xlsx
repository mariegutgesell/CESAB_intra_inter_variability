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egutgesell/LocalRepos/CESAB_intra_inter_variability/data/"/>
    </mc:Choice>
  </mc:AlternateContent>
  <xr:revisionPtr revIDLastSave="0" documentId="13_ncr:1_{4EBCE6F9-8BA2-BD45-8815-192BD7248117}" xr6:coauthVersionLast="47" xr6:coauthVersionMax="47" xr10:uidLastSave="{00000000-0000-0000-0000-000000000000}"/>
  <bookViews>
    <workbookView xWindow="500" yWindow="760" windowWidth="27160" windowHeight="17400" xr2:uid="{49A596B1-6454-3243-B6C2-085AEABB7C37}"/>
  </bookViews>
  <sheets>
    <sheet name="Sheet1" sheetId="1" r:id="rId1"/>
  </sheets>
  <definedNames>
    <definedName name="_xlnm._FilterDatabase" localSheetId="0" hidden="1">Sheet1!$A$1:$J$93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tc={9113877C-34ED-3342-BED3-9D8CBE47782F}</author>
    <author>tc={AAA06B55-0D30-6640-9D6B-21C4353ED668}</author>
  </authors>
  <commentList>
    <comment ref="C55" authorId="0" shapeId="0" xr:uid="{9113877C-34ED-3342-BED3-9D8CBE4778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also has Squalis NA (and 1 Squalis sp.) - are young of year, remove? </t>
      </text>
    </comment>
    <comment ref="C56" authorId="1" shapeId="0" xr:uid="{AAA06B55-0D30-6640-9D6B-21C4353ED668}">
      <text>
        <t>[Threaded comment]
Your version of Excel allows you to read this threaded comment; however, any edits to it will get removed if the file is opened in a newer version of Excel. Learn more: https://go.microsoft.com/fwlink/?linkid=870924
Comment:
    also has Squalis NA (and 1 Squalis sp.) - are young of year, remove?</t>
      </text>
    </comment>
  </commentList>
</comments>
</file>

<file path=xl/sharedStrings.xml><?xml version="1.0" encoding="utf-8"?>
<sst xmlns="http://schemas.openxmlformats.org/spreadsheetml/2006/main" count="528" uniqueCount="156">
  <si>
    <t>FWB_0001</t>
  </si>
  <si>
    <t>FWB_0003</t>
  </si>
  <si>
    <t>FWB_0008</t>
  </si>
  <si>
    <t>FWB_0017</t>
  </si>
  <si>
    <t>FWB_0020</t>
  </si>
  <si>
    <t>FWB_0032</t>
  </si>
  <si>
    <t>FWB_0033</t>
  </si>
  <si>
    <t>FWB_0036</t>
  </si>
  <si>
    <t>FWB_0044</t>
  </si>
  <si>
    <t>FWB_0045</t>
  </si>
  <si>
    <t>FWB_0062</t>
  </si>
  <si>
    <t>FWB_0064</t>
  </si>
  <si>
    <t>FWB_0073</t>
  </si>
  <si>
    <t>FWB_0077</t>
  </si>
  <si>
    <t>FWB_0080</t>
  </si>
  <si>
    <t>FWB_0083</t>
  </si>
  <si>
    <t>FWB_0084</t>
  </si>
  <si>
    <t>FWB_0088</t>
  </si>
  <si>
    <t>FWB_0089</t>
  </si>
  <si>
    <t>FWB_0090</t>
  </si>
  <si>
    <t>FWB_0095</t>
  </si>
  <si>
    <t>FWB_0098</t>
  </si>
  <si>
    <t>FWB_0114</t>
  </si>
  <si>
    <t>FWB_0126</t>
  </si>
  <si>
    <t>FWB_0213</t>
  </si>
  <si>
    <t>FWB_0214</t>
  </si>
  <si>
    <t>FWB_0215</t>
  </si>
  <si>
    <t>FWB_0216</t>
  </si>
  <si>
    <t>FWB_0217</t>
  </si>
  <si>
    <t>FWB_0218</t>
  </si>
  <si>
    <t>FWB_0219</t>
  </si>
  <si>
    <t>FWB_0286</t>
  </si>
  <si>
    <t>FWB_0289</t>
  </si>
  <si>
    <t>FWB_0290</t>
  </si>
  <si>
    <t>FWB_0291</t>
  </si>
  <si>
    <t>FWB_0292</t>
  </si>
  <si>
    <t>FWB_0495</t>
  </si>
  <si>
    <t>FWB_0496</t>
  </si>
  <si>
    <t>FWB_0501</t>
  </si>
  <si>
    <t>FWB_0504</t>
  </si>
  <si>
    <t>FWB_0505</t>
  </si>
  <si>
    <t>FWB_0506</t>
  </si>
  <si>
    <t>FWB_0508</t>
  </si>
  <si>
    <t>FWB_0509</t>
  </si>
  <si>
    <t>FWB_0524</t>
  </si>
  <si>
    <t>FWB_0525</t>
  </si>
  <si>
    <t>FWB_0550</t>
  </si>
  <si>
    <t>FWB_0552</t>
  </si>
  <si>
    <t>FWB_0554</t>
  </si>
  <si>
    <t>FWB_0555</t>
  </si>
  <si>
    <t>FWB_0750</t>
  </si>
  <si>
    <t>FWB_0751</t>
  </si>
  <si>
    <t>FWB_0752</t>
  </si>
  <si>
    <t>FWB_0754</t>
  </si>
  <si>
    <t>FWB_0755</t>
  </si>
  <si>
    <t>FWB_0757</t>
  </si>
  <si>
    <t>FWB_0758</t>
  </si>
  <si>
    <t>FWB_0759</t>
  </si>
  <si>
    <t>FWB_0762</t>
  </si>
  <si>
    <t>FWB_0764</t>
  </si>
  <si>
    <t>FWB_0765</t>
  </si>
  <si>
    <t>FWB_0766</t>
  </si>
  <si>
    <t>FWB_0768</t>
  </si>
  <si>
    <t>FWB_0772</t>
  </si>
  <si>
    <t>FWB_0773</t>
  </si>
  <si>
    <t>FWB_0775</t>
  </si>
  <si>
    <t>FWB_0776</t>
  </si>
  <si>
    <t>FWB_0779</t>
  </si>
  <si>
    <t>FWB_0783</t>
  </si>
  <si>
    <t>FWB_0784</t>
  </si>
  <si>
    <t>FWB_0792</t>
  </si>
  <si>
    <t>FWB_0793</t>
  </si>
  <si>
    <t>FWB_0816</t>
  </si>
  <si>
    <t>FWB_0828</t>
  </si>
  <si>
    <t>FWB_0842</t>
  </si>
  <si>
    <t>FWB_0880</t>
  </si>
  <si>
    <t>FWB_0882</t>
  </si>
  <si>
    <t>FWB_0891</t>
  </si>
  <si>
    <t>FWB_0912</t>
  </si>
  <si>
    <t>FWB_0915</t>
  </si>
  <si>
    <t>FWB_0934</t>
  </si>
  <si>
    <t>FWB_0947</t>
  </si>
  <si>
    <t>FWB_0976</t>
  </si>
  <si>
    <t>FWB_0977</t>
  </si>
  <si>
    <t>FWB_0979</t>
  </si>
  <si>
    <t>FWB_0983</t>
  </si>
  <si>
    <t>FWB_0984</t>
  </si>
  <si>
    <t>FWB_0996</t>
  </si>
  <si>
    <t>FWB_0998</t>
  </si>
  <si>
    <t>FWB_1003</t>
  </si>
  <si>
    <t>FWB_1008</t>
  </si>
  <si>
    <t>FWB_1012</t>
  </si>
  <si>
    <t>FWB_id</t>
  </si>
  <si>
    <t>Use</t>
  </si>
  <si>
    <t>Reason</t>
  </si>
  <si>
    <t>YES</t>
  </si>
  <si>
    <t>Action</t>
  </si>
  <si>
    <t>Remove individuals with NA</t>
  </si>
  <si>
    <t xml:space="preserve">Species name missing for 5 immature juveniles </t>
  </si>
  <si>
    <t>Andromakhe sp</t>
  </si>
  <si>
    <t>no other Andromarkhe in the community, assumed to all belong from the same species</t>
  </si>
  <si>
    <t>Species name missing for 14 very small juveniles of Catastomidae but juvenile of 2 species of catastomidae already available</t>
  </si>
  <si>
    <t>Species name missing for 7 very small juveniles of Catastomidae but juvenile of 2 species of catastomidae already available</t>
  </si>
  <si>
    <t>NO</t>
  </si>
  <si>
    <t>Mulitple Characidae species, not possible to know which species it is (large individuals)</t>
  </si>
  <si>
    <t>One other Gobiidae species, not possible to know which species it is (very small individual individuals)</t>
  </si>
  <si>
    <t>Cobitis sp</t>
  </si>
  <si>
    <t>No other Cobitidae in the community, likely to be same species</t>
  </si>
  <si>
    <t>Mulitple similar taxa</t>
  </si>
  <si>
    <t>Galaxias sp</t>
  </si>
  <si>
    <t>No other Galaxias in community</t>
  </si>
  <si>
    <t>No other Poeciliidae in community</t>
  </si>
  <si>
    <t>Gambusia sp</t>
  </si>
  <si>
    <t>Channallabes sp</t>
  </si>
  <si>
    <t>Only Channallabes in community and only 1 individual</t>
  </si>
  <si>
    <t>Only 1 immature juvenile</t>
  </si>
  <si>
    <t>Remove individual with NA</t>
  </si>
  <si>
    <t>Mulitple taxa with no species name, can not be solved</t>
  </si>
  <si>
    <t>Synodontis sp</t>
  </si>
  <si>
    <t>Only one Synodontis in the whole community</t>
  </si>
  <si>
    <t>nb_NA</t>
  </si>
  <si>
    <t>nb_individuals</t>
  </si>
  <si>
    <t>Percent_NA</t>
  </si>
  <si>
    <t>Astyanax sp</t>
  </si>
  <si>
    <t>Only one Astyanax in the whole community</t>
  </si>
  <si>
    <t xml:space="preserve">NA are only Roach x bream hybrid	</t>
  </si>
  <si>
    <t>Etheostoma sp</t>
  </si>
  <si>
    <t>Only one Etheostoma in the whole community</t>
  </si>
  <si>
    <t>Gobiidae_sp</t>
  </si>
  <si>
    <t>Only one Gobiidae in the whole community</t>
  </si>
  <si>
    <t>Melanotaenia sp</t>
  </si>
  <si>
    <t>Only one Melanotaenia in the whole community</t>
  </si>
  <si>
    <t>Eleotridae sp</t>
  </si>
  <si>
    <t>Only one Eleotridae in the whole community</t>
  </si>
  <si>
    <t>Cottidae sp</t>
  </si>
  <si>
    <t>Only one species, validated by Julian</t>
  </si>
  <si>
    <t>Species sp</t>
  </si>
  <si>
    <t>Only one species per genus, so can be used at the species level. Validated by Tim</t>
  </si>
  <si>
    <t>Luciobarbus steindachneri</t>
  </si>
  <si>
    <t>Only one species, change to Luciobarbus steindachneri</t>
  </si>
  <si>
    <t>Luciobarbus microcephalus</t>
  </si>
  <si>
    <t>Several luciobarbus species observed as adults</t>
  </si>
  <si>
    <t>Alternative: remove individual with NA (only juveniles)</t>
  </si>
  <si>
    <t>No other luciobarbus species</t>
  </si>
  <si>
    <t>Luciobarbus sp</t>
  </si>
  <si>
    <t>Only one species, change to Luciobarbus sclateri. Remove individual Squalius sp (juvenile)</t>
  </si>
  <si>
    <t>Only one species, change to Luciobarbus steindachneri. Remove individual Squalius sp (juvenile)</t>
  </si>
  <si>
    <t>Action_description</t>
  </si>
  <si>
    <t>Keep genus and add sp.</t>
  </si>
  <si>
    <t>Keep family and add sp.</t>
  </si>
  <si>
    <t xml:space="preserve">Luciobarbus sclateri; </t>
  </si>
  <si>
    <r>
      <t xml:space="preserve">Only one species, change to Luciobarbus steindachneri. </t>
    </r>
    <r>
      <rPr>
        <sz val="12"/>
        <color rgb="FFFF0000"/>
        <rFont val="Calibri (Body)"/>
      </rPr>
      <t>Remove individual Squalius sp (juvenile)</t>
    </r>
  </si>
  <si>
    <r>
      <t>Only one species, change to Luciobarbus microcephalus.</t>
    </r>
    <r>
      <rPr>
        <sz val="12"/>
        <color rgb="FFFF0000"/>
        <rFont val="Calibri (Body)"/>
      </rPr>
      <t xml:space="preserve"> Remove individual Squalius sp (juvenile)</t>
    </r>
  </si>
  <si>
    <t>Luciobarbus steindachneri; Remove individual with NA</t>
  </si>
  <si>
    <t>Luciobarbus microcephalus; Remove individual with NA</t>
  </si>
  <si>
    <t>Luciobarbus sclateri; Remove individual with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</si>
</sst>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sz val="12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/>
    <xf numFmtId="1" fontId="0" fillId="0" borderId="0" xfId="0" applyNumberFormat="1"/>
    <xf numFmtId="0" fontId="1" fillId="0" borderId="0" xfId="0" applyFont="1"/>
    <xf numFmtId="0" fontId="0" fillId="2" borderId="0" xfId="0" applyFill="1" applyAlignment="1">
      <alignment horizontal="left"/>
    </xf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e Gutgesell" id="{54F47386-B47D-FC4F-975F-F2DC1FA78988}" userId="a1fe284763d30cee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5" dT="2026-07-30T07:37:42.70" personId="{54F47386-B47D-FC4F-975F-F2DC1FA78988}" id="{9113877C-34ED-3342-BED3-9D8CBE47782F}">
    <text xml:space="preserve">also has Squalis NA (and 1 Squalis sp.) - are young of year, remove? </text>
  </threadedComment>
  <threadedComment ref="C56" dT="2026-07-30T07:38:51.15" personId="{54F47386-B47D-FC4F-975F-F2DC1FA78988}" id="{AAA06B55-0D30-6640-9D6B-21C4353ED668}">
    <text>also has Squalis NA (and 1 Squalis sp.) - are young of year, remove?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E6CAC-1EC7-154B-AD4E-BE8BC8842676}">
  <dimension ref="A1:J93"/>
  <sheetViews>
    <sheetView tabSelected="1" zoomScale="120" zoomScaleNormal="120" workbookViewId="0">
      <pane ySplit="1" topLeftCell="A52" activePane="bottomLeft" state="frozen"/>
      <selection pane="bottomLeft" activeCell="C63" sqref="C63"/>
    </sheetView>
  </sheetViews>
  <sheetFormatPr baseColWidth="10" defaultRowHeight="16" x14ac:dyDescent="0.2"/>
  <cols>
    <col min="2" max="2" width="18.6640625" customWidth="1"/>
    <col min="3" max="3" width="106.5" bestFit="1" customWidth="1"/>
    <col min="4" max="4" width="46.6640625" bestFit="1" customWidth="1"/>
    <col min="8" max="8" width="12.83203125" bestFit="1" customWidth="1"/>
  </cols>
  <sheetData>
    <row r="1" spans="1:10" x14ac:dyDescent="0.2">
      <c r="A1" s="2" t="s">
        <v>92</v>
      </c>
      <c r="B1" t="s">
        <v>93</v>
      </c>
      <c r="C1" t="s">
        <v>94</v>
      </c>
      <c r="D1" t="s">
        <v>96</v>
      </c>
      <c r="E1" t="s">
        <v>147</v>
      </c>
      <c r="H1" t="s">
        <v>121</v>
      </c>
      <c r="I1" t="s">
        <v>120</v>
      </c>
      <c r="J1" t="s">
        <v>122</v>
      </c>
    </row>
    <row r="2" spans="1:10" x14ac:dyDescent="0.2">
      <c r="A2" s="1" t="s">
        <v>0</v>
      </c>
      <c r="B2" t="s">
        <v>95</v>
      </c>
      <c r="C2" t="s">
        <v>137</v>
      </c>
      <c r="D2" s="3" t="s">
        <v>136</v>
      </c>
      <c r="E2" t="s">
        <v>148</v>
      </c>
      <c r="G2" s="1" t="s">
        <v>0</v>
      </c>
      <c r="H2">
        <v>64</v>
      </c>
      <c r="I2">
        <v>8</v>
      </c>
      <c r="J2" s="4">
        <f>I2/H2*100</f>
        <v>12.5</v>
      </c>
    </row>
    <row r="3" spans="1:10" x14ac:dyDescent="0.2">
      <c r="A3" s="1" t="s">
        <v>1</v>
      </c>
      <c r="B3" t="s">
        <v>95</v>
      </c>
      <c r="C3" t="s">
        <v>137</v>
      </c>
      <c r="D3" s="3" t="s">
        <v>136</v>
      </c>
      <c r="E3" t="s">
        <v>148</v>
      </c>
      <c r="G3" s="1" t="s">
        <v>1</v>
      </c>
      <c r="H3">
        <v>23</v>
      </c>
      <c r="I3">
        <v>3</v>
      </c>
      <c r="J3" s="4">
        <f t="shared" ref="J3:J66" si="0">I3/H3*100</f>
        <v>13.043478260869565</v>
      </c>
    </row>
    <row r="4" spans="1:10" x14ac:dyDescent="0.2">
      <c r="A4" s="1" t="s">
        <v>2</v>
      </c>
      <c r="B4" t="s">
        <v>95</v>
      </c>
      <c r="C4" t="s">
        <v>133</v>
      </c>
      <c r="D4" s="3" t="s">
        <v>132</v>
      </c>
      <c r="E4" t="s">
        <v>149</v>
      </c>
      <c r="G4" s="1" t="s">
        <v>2</v>
      </c>
      <c r="H4">
        <v>76</v>
      </c>
      <c r="I4">
        <v>1</v>
      </c>
      <c r="J4" s="4">
        <f t="shared" si="0"/>
        <v>1.3157894736842104</v>
      </c>
    </row>
    <row r="5" spans="1:10" x14ac:dyDescent="0.2">
      <c r="A5" s="1" t="s">
        <v>3</v>
      </c>
      <c r="B5" t="s">
        <v>95</v>
      </c>
      <c r="C5" t="s">
        <v>137</v>
      </c>
      <c r="D5" s="3" t="s">
        <v>136</v>
      </c>
      <c r="E5" t="s">
        <v>148</v>
      </c>
      <c r="G5" s="1" t="s">
        <v>3</v>
      </c>
      <c r="H5">
        <v>6</v>
      </c>
      <c r="I5">
        <v>3</v>
      </c>
      <c r="J5" s="4">
        <f t="shared" si="0"/>
        <v>50</v>
      </c>
    </row>
    <row r="6" spans="1:10" x14ac:dyDescent="0.2">
      <c r="A6" s="1" t="s">
        <v>4</v>
      </c>
      <c r="B6" t="s">
        <v>95</v>
      </c>
      <c r="C6" t="s">
        <v>137</v>
      </c>
      <c r="D6" s="3" t="s">
        <v>136</v>
      </c>
      <c r="E6" t="s">
        <v>148</v>
      </c>
      <c r="G6" s="1" t="s">
        <v>4</v>
      </c>
      <c r="H6">
        <v>18</v>
      </c>
      <c r="I6">
        <v>9</v>
      </c>
      <c r="J6" s="4">
        <f t="shared" si="0"/>
        <v>50</v>
      </c>
    </row>
    <row r="7" spans="1:10" x14ac:dyDescent="0.2">
      <c r="A7" s="1" t="s">
        <v>5</v>
      </c>
      <c r="B7" t="s">
        <v>95</v>
      </c>
      <c r="C7" t="s">
        <v>137</v>
      </c>
      <c r="D7" s="3" t="s">
        <v>136</v>
      </c>
      <c r="E7" t="s">
        <v>148</v>
      </c>
      <c r="G7" s="1" t="s">
        <v>5</v>
      </c>
      <c r="H7">
        <v>15</v>
      </c>
      <c r="I7">
        <v>4</v>
      </c>
      <c r="J7" s="4">
        <f t="shared" si="0"/>
        <v>26.666666666666668</v>
      </c>
    </row>
    <row r="8" spans="1:10" x14ac:dyDescent="0.2">
      <c r="A8" s="1" t="s">
        <v>6</v>
      </c>
      <c r="B8" t="s">
        <v>95</v>
      </c>
      <c r="C8" t="s">
        <v>137</v>
      </c>
      <c r="D8" s="3" t="s">
        <v>136</v>
      </c>
      <c r="E8" t="s">
        <v>148</v>
      </c>
      <c r="G8" s="1" t="s">
        <v>6</v>
      </c>
      <c r="H8">
        <v>14</v>
      </c>
      <c r="I8">
        <v>3</v>
      </c>
      <c r="J8" s="4">
        <f t="shared" si="0"/>
        <v>21.428571428571427</v>
      </c>
    </row>
    <row r="9" spans="1:10" x14ac:dyDescent="0.2">
      <c r="A9" s="1" t="s">
        <v>7</v>
      </c>
      <c r="B9" t="s">
        <v>95</v>
      </c>
      <c r="C9" t="s">
        <v>137</v>
      </c>
      <c r="D9" s="3" t="s">
        <v>136</v>
      </c>
      <c r="E9" t="s">
        <v>148</v>
      </c>
      <c r="G9" s="1" t="s">
        <v>7</v>
      </c>
      <c r="H9">
        <v>28</v>
      </c>
      <c r="I9">
        <v>9</v>
      </c>
      <c r="J9" s="4">
        <f t="shared" si="0"/>
        <v>32.142857142857146</v>
      </c>
    </row>
    <row r="10" spans="1:10" x14ac:dyDescent="0.2">
      <c r="A10" s="1" t="s">
        <v>8</v>
      </c>
      <c r="B10" t="s">
        <v>95</v>
      </c>
      <c r="C10" t="s">
        <v>133</v>
      </c>
      <c r="D10" s="3" t="s">
        <v>132</v>
      </c>
      <c r="E10" t="s">
        <v>149</v>
      </c>
      <c r="G10" s="1" t="s">
        <v>8</v>
      </c>
      <c r="H10">
        <v>96</v>
      </c>
      <c r="I10">
        <v>8</v>
      </c>
      <c r="J10" s="4">
        <f t="shared" si="0"/>
        <v>8.3333333333333321</v>
      </c>
    </row>
    <row r="11" spans="1:10" x14ac:dyDescent="0.2">
      <c r="A11" s="1" t="s">
        <v>9</v>
      </c>
      <c r="B11" t="s">
        <v>95</v>
      </c>
      <c r="C11" t="s">
        <v>137</v>
      </c>
      <c r="D11" s="3" t="s">
        <v>136</v>
      </c>
      <c r="E11" t="s">
        <v>148</v>
      </c>
      <c r="G11" s="1" t="s">
        <v>9</v>
      </c>
      <c r="H11">
        <v>14</v>
      </c>
      <c r="I11">
        <v>5</v>
      </c>
      <c r="J11" s="4">
        <f t="shared" si="0"/>
        <v>35.714285714285715</v>
      </c>
    </row>
    <row r="12" spans="1:10" x14ac:dyDescent="0.2">
      <c r="A12" s="1" t="s">
        <v>10</v>
      </c>
      <c r="B12" t="s">
        <v>95</v>
      </c>
      <c r="C12" t="s">
        <v>137</v>
      </c>
      <c r="D12" s="3" t="s">
        <v>136</v>
      </c>
      <c r="E12" t="s">
        <v>148</v>
      </c>
      <c r="G12" s="1" t="s">
        <v>10</v>
      </c>
      <c r="H12">
        <v>16</v>
      </c>
      <c r="I12">
        <v>6</v>
      </c>
      <c r="J12" s="4">
        <f t="shared" si="0"/>
        <v>37.5</v>
      </c>
    </row>
    <row r="13" spans="1:10" x14ac:dyDescent="0.2">
      <c r="A13" s="1" t="s">
        <v>11</v>
      </c>
      <c r="B13" t="s">
        <v>95</v>
      </c>
      <c r="C13" t="s">
        <v>137</v>
      </c>
      <c r="D13" s="3" t="s">
        <v>136</v>
      </c>
      <c r="E13" t="s">
        <v>148</v>
      </c>
      <c r="G13" s="1" t="s">
        <v>11</v>
      </c>
      <c r="H13">
        <v>24</v>
      </c>
      <c r="I13">
        <v>5</v>
      </c>
      <c r="J13" s="4">
        <f t="shared" si="0"/>
        <v>20.833333333333336</v>
      </c>
    </row>
    <row r="14" spans="1:10" x14ac:dyDescent="0.2">
      <c r="A14" s="1" t="s">
        <v>12</v>
      </c>
      <c r="B14" t="s">
        <v>95</v>
      </c>
      <c r="C14" t="s">
        <v>137</v>
      </c>
      <c r="D14" s="3" t="s">
        <v>136</v>
      </c>
      <c r="E14" t="s">
        <v>148</v>
      </c>
      <c r="G14" s="1" t="s">
        <v>12</v>
      </c>
      <c r="H14">
        <v>56</v>
      </c>
      <c r="I14">
        <v>16</v>
      </c>
      <c r="J14" s="4">
        <f t="shared" si="0"/>
        <v>28.571428571428569</v>
      </c>
    </row>
    <row r="15" spans="1:10" x14ac:dyDescent="0.2">
      <c r="A15" s="1" t="s">
        <v>13</v>
      </c>
      <c r="B15" t="s">
        <v>95</v>
      </c>
      <c r="C15" t="s">
        <v>137</v>
      </c>
      <c r="D15" s="3" t="s">
        <v>136</v>
      </c>
      <c r="E15" t="s">
        <v>148</v>
      </c>
      <c r="G15" s="1" t="s">
        <v>13</v>
      </c>
      <c r="H15">
        <v>30</v>
      </c>
      <c r="I15">
        <v>6</v>
      </c>
      <c r="J15" s="4">
        <f t="shared" si="0"/>
        <v>20</v>
      </c>
    </row>
    <row r="16" spans="1:10" x14ac:dyDescent="0.2">
      <c r="A16" s="1" t="s">
        <v>14</v>
      </c>
      <c r="B16" t="s">
        <v>95</v>
      </c>
      <c r="C16" t="s">
        <v>137</v>
      </c>
      <c r="D16" s="3" t="s">
        <v>136</v>
      </c>
      <c r="E16" t="s">
        <v>148</v>
      </c>
      <c r="G16" s="1" t="s">
        <v>14</v>
      </c>
      <c r="H16">
        <v>59</v>
      </c>
      <c r="I16">
        <v>11</v>
      </c>
      <c r="J16" s="4">
        <f t="shared" si="0"/>
        <v>18.64406779661017</v>
      </c>
    </row>
    <row r="17" spans="1:10" x14ac:dyDescent="0.2">
      <c r="A17" s="1" t="s">
        <v>15</v>
      </c>
      <c r="B17" t="s">
        <v>95</v>
      </c>
      <c r="C17" t="s">
        <v>137</v>
      </c>
      <c r="D17" s="3" t="s">
        <v>136</v>
      </c>
      <c r="E17" t="s">
        <v>148</v>
      </c>
      <c r="G17" s="1" t="s">
        <v>15</v>
      </c>
      <c r="H17">
        <v>33</v>
      </c>
      <c r="I17">
        <v>10</v>
      </c>
      <c r="J17" s="4">
        <f t="shared" si="0"/>
        <v>30.303030303030305</v>
      </c>
    </row>
    <row r="18" spans="1:10" x14ac:dyDescent="0.2">
      <c r="A18" s="1" t="s">
        <v>16</v>
      </c>
      <c r="B18" t="s">
        <v>95</v>
      </c>
      <c r="C18" t="s">
        <v>137</v>
      </c>
      <c r="D18" s="3" t="s">
        <v>136</v>
      </c>
      <c r="E18" t="s">
        <v>148</v>
      </c>
      <c r="G18" s="1" t="s">
        <v>16</v>
      </c>
      <c r="H18">
        <v>56</v>
      </c>
      <c r="I18">
        <v>19</v>
      </c>
      <c r="J18" s="4">
        <f t="shared" si="0"/>
        <v>33.928571428571431</v>
      </c>
    </row>
    <row r="19" spans="1:10" x14ac:dyDescent="0.2">
      <c r="A19" s="1" t="s">
        <v>17</v>
      </c>
      <c r="B19" t="s">
        <v>95</v>
      </c>
      <c r="C19" t="s">
        <v>137</v>
      </c>
      <c r="D19" s="3" t="s">
        <v>136</v>
      </c>
      <c r="E19" t="s">
        <v>148</v>
      </c>
      <c r="G19" s="1" t="s">
        <v>17</v>
      </c>
      <c r="H19">
        <v>84</v>
      </c>
      <c r="I19">
        <v>23</v>
      </c>
      <c r="J19" s="4">
        <f t="shared" si="0"/>
        <v>27.380952380952383</v>
      </c>
    </row>
    <row r="20" spans="1:10" x14ac:dyDescent="0.2">
      <c r="A20" s="1" t="s">
        <v>18</v>
      </c>
      <c r="B20" t="s">
        <v>95</v>
      </c>
      <c r="C20" t="s">
        <v>133</v>
      </c>
      <c r="D20" s="3" t="s">
        <v>132</v>
      </c>
      <c r="E20" t="s">
        <v>149</v>
      </c>
      <c r="G20" s="1" t="s">
        <v>18</v>
      </c>
      <c r="H20">
        <v>92</v>
      </c>
      <c r="I20">
        <v>3</v>
      </c>
      <c r="J20" s="4">
        <f t="shared" si="0"/>
        <v>3.2608695652173911</v>
      </c>
    </row>
    <row r="21" spans="1:10" x14ac:dyDescent="0.2">
      <c r="A21" s="1" t="s">
        <v>19</v>
      </c>
      <c r="B21" t="s">
        <v>95</v>
      </c>
      <c r="C21" t="s">
        <v>131</v>
      </c>
      <c r="D21" s="3" t="s">
        <v>130</v>
      </c>
      <c r="E21" t="s">
        <v>148</v>
      </c>
      <c r="G21" s="1" t="s">
        <v>19</v>
      </c>
      <c r="H21">
        <v>12</v>
      </c>
      <c r="I21">
        <v>3</v>
      </c>
      <c r="J21" s="4">
        <f t="shared" si="0"/>
        <v>25</v>
      </c>
    </row>
    <row r="22" spans="1:10" x14ac:dyDescent="0.2">
      <c r="A22" s="1" t="s">
        <v>20</v>
      </c>
      <c r="B22" t="s">
        <v>95</v>
      </c>
      <c r="C22" t="s">
        <v>131</v>
      </c>
      <c r="D22" s="3" t="s">
        <v>130</v>
      </c>
      <c r="E22" t="s">
        <v>148</v>
      </c>
      <c r="G22" s="1" t="s">
        <v>20</v>
      </c>
      <c r="H22">
        <v>14</v>
      </c>
      <c r="I22">
        <v>5</v>
      </c>
      <c r="J22" s="4">
        <f t="shared" si="0"/>
        <v>35.714285714285715</v>
      </c>
    </row>
    <row r="23" spans="1:10" x14ac:dyDescent="0.2">
      <c r="A23" s="1" t="s">
        <v>21</v>
      </c>
      <c r="B23" t="s">
        <v>95</v>
      </c>
      <c r="C23" t="s">
        <v>129</v>
      </c>
      <c r="D23" s="3" t="s">
        <v>128</v>
      </c>
      <c r="E23" t="s">
        <v>148</v>
      </c>
      <c r="G23" s="1" t="s">
        <v>21</v>
      </c>
      <c r="H23">
        <v>19</v>
      </c>
      <c r="I23">
        <v>4</v>
      </c>
      <c r="J23" s="4">
        <f t="shared" si="0"/>
        <v>21.052631578947366</v>
      </c>
    </row>
    <row r="24" spans="1:10" x14ac:dyDescent="0.2">
      <c r="A24" s="1" t="s">
        <v>22</v>
      </c>
      <c r="B24" t="s">
        <v>103</v>
      </c>
      <c r="C24" t="s">
        <v>117</v>
      </c>
      <c r="G24" s="1" t="s">
        <v>22</v>
      </c>
      <c r="H24">
        <v>76</v>
      </c>
      <c r="I24">
        <v>8</v>
      </c>
      <c r="J24" s="4">
        <f t="shared" si="0"/>
        <v>10.526315789473683</v>
      </c>
    </row>
    <row r="25" spans="1:10" x14ac:dyDescent="0.2">
      <c r="A25" s="1" t="s">
        <v>23</v>
      </c>
      <c r="B25" t="s">
        <v>103</v>
      </c>
      <c r="C25" t="s">
        <v>117</v>
      </c>
      <c r="G25" s="1" t="s">
        <v>23</v>
      </c>
      <c r="H25">
        <v>57</v>
      </c>
      <c r="I25">
        <v>5</v>
      </c>
      <c r="J25" s="4">
        <f t="shared" si="0"/>
        <v>8.7719298245614024</v>
      </c>
    </row>
    <row r="26" spans="1:10" x14ac:dyDescent="0.2">
      <c r="A26" s="1" t="s">
        <v>24</v>
      </c>
      <c r="B26" t="s">
        <v>95</v>
      </c>
      <c r="C26" t="s">
        <v>127</v>
      </c>
      <c r="D26" s="3" t="s">
        <v>126</v>
      </c>
      <c r="E26" t="s">
        <v>148</v>
      </c>
      <c r="G26" s="1" t="s">
        <v>24</v>
      </c>
      <c r="H26">
        <v>18</v>
      </c>
      <c r="I26">
        <v>6</v>
      </c>
      <c r="J26" s="4">
        <f t="shared" si="0"/>
        <v>33.333333333333329</v>
      </c>
    </row>
    <row r="27" spans="1:10" x14ac:dyDescent="0.2">
      <c r="A27" s="1" t="s">
        <v>25</v>
      </c>
      <c r="B27" t="s">
        <v>95</v>
      </c>
      <c r="C27" t="s">
        <v>127</v>
      </c>
      <c r="D27" s="3" t="s">
        <v>126</v>
      </c>
      <c r="E27" t="s">
        <v>148</v>
      </c>
      <c r="G27" s="1" t="s">
        <v>25</v>
      </c>
      <c r="H27">
        <v>30</v>
      </c>
      <c r="I27">
        <v>6</v>
      </c>
      <c r="J27" s="4">
        <f t="shared" si="0"/>
        <v>20</v>
      </c>
    </row>
    <row r="28" spans="1:10" x14ac:dyDescent="0.2">
      <c r="A28" s="1" t="s">
        <v>26</v>
      </c>
      <c r="B28" t="s">
        <v>95</v>
      </c>
      <c r="C28" t="s">
        <v>127</v>
      </c>
      <c r="D28" s="3" t="s">
        <v>126</v>
      </c>
      <c r="E28" t="s">
        <v>148</v>
      </c>
      <c r="G28" s="1" t="s">
        <v>26</v>
      </c>
      <c r="H28">
        <v>29</v>
      </c>
      <c r="I28">
        <v>7</v>
      </c>
      <c r="J28" s="4">
        <f t="shared" si="0"/>
        <v>24.137931034482758</v>
      </c>
    </row>
    <row r="29" spans="1:10" x14ac:dyDescent="0.2">
      <c r="A29" s="1" t="s">
        <v>27</v>
      </c>
      <c r="B29" t="s">
        <v>95</v>
      </c>
      <c r="C29" t="s">
        <v>127</v>
      </c>
      <c r="D29" s="3" t="s">
        <v>126</v>
      </c>
      <c r="E29" t="s">
        <v>148</v>
      </c>
      <c r="G29" s="1" t="s">
        <v>27</v>
      </c>
      <c r="H29">
        <v>34</v>
      </c>
      <c r="I29">
        <v>6</v>
      </c>
      <c r="J29" s="4">
        <f t="shared" si="0"/>
        <v>17.647058823529413</v>
      </c>
    </row>
    <row r="30" spans="1:10" x14ac:dyDescent="0.2">
      <c r="A30" s="1" t="s">
        <v>28</v>
      </c>
      <c r="B30" t="s">
        <v>95</v>
      </c>
      <c r="C30" t="s">
        <v>127</v>
      </c>
      <c r="D30" s="3" t="s">
        <v>126</v>
      </c>
      <c r="E30" t="s">
        <v>148</v>
      </c>
      <c r="G30" s="1" t="s">
        <v>28</v>
      </c>
      <c r="H30">
        <v>34</v>
      </c>
      <c r="I30">
        <v>6</v>
      </c>
      <c r="J30" s="4">
        <f t="shared" si="0"/>
        <v>17.647058823529413</v>
      </c>
    </row>
    <row r="31" spans="1:10" x14ac:dyDescent="0.2">
      <c r="A31" s="1" t="s">
        <v>29</v>
      </c>
      <c r="B31" t="s">
        <v>95</v>
      </c>
      <c r="C31" t="s">
        <v>127</v>
      </c>
      <c r="D31" s="3" t="s">
        <v>126</v>
      </c>
      <c r="E31" t="s">
        <v>148</v>
      </c>
      <c r="G31" s="1" t="s">
        <v>29</v>
      </c>
      <c r="H31">
        <v>39</v>
      </c>
      <c r="I31">
        <v>6</v>
      </c>
      <c r="J31" s="4">
        <f t="shared" si="0"/>
        <v>15.384615384615385</v>
      </c>
    </row>
    <row r="32" spans="1:10" x14ac:dyDescent="0.2">
      <c r="A32" s="1" t="s">
        <v>30</v>
      </c>
      <c r="B32" t="s">
        <v>95</v>
      </c>
      <c r="C32" t="s">
        <v>127</v>
      </c>
      <c r="D32" s="3" t="s">
        <v>126</v>
      </c>
      <c r="E32" t="s">
        <v>148</v>
      </c>
      <c r="G32" s="1" t="s">
        <v>30</v>
      </c>
      <c r="H32">
        <v>27</v>
      </c>
      <c r="I32">
        <v>6</v>
      </c>
      <c r="J32" s="4">
        <f t="shared" si="0"/>
        <v>22.222222222222221</v>
      </c>
    </row>
    <row r="33" spans="1:10" x14ac:dyDescent="0.2">
      <c r="A33" s="1" t="s">
        <v>31</v>
      </c>
      <c r="B33" t="s">
        <v>103</v>
      </c>
      <c r="C33" t="s">
        <v>117</v>
      </c>
      <c r="G33" s="1" t="s">
        <v>31</v>
      </c>
      <c r="H33">
        <v>77</v>
      </c>
      <c r="I33">
        <v>33</v>
      </c>
      <c r="J33" s="4">
        <f t="shared" si="0"/>
        <v>42.857142857142854</v>
      </c>
    </row>
    <row r="34" spans="1:10" x14ac:dyDescent="0.2">
      <c r="A34" s="1" t="s">
        <v>32</v>
      </c>
      <c r="B34" t="s">
        <v>103</v>
      </c>
      <c r="C34" t="s">
        <v>117</v>
      </c>
      <c r="G34" s="1" t="s">
        <v>32</v>
      </c>
      <c r="H34">
        <v>47</v>
      </c>
      <c r="I34">
        <v>26</v>
      </c>
      <c r="J34" s="4">
        <f t="shared" si="0"/>
        <v>55.319148936170215</v>
      </c>
    </row>
    <row r="35" spans="1:10" x14ac:dyDescent="0.2">
      <c r="A35" s="1" t="s">
        <v>33</v>
      </c>
      <c r="B35" t="s">
        <v>103</v>
      </c>
      <c r="C35" t="s">
        <v>117</v>
      </c>
      <c r="G35" s="1" t="s">
        <v>33</v>
      </c>
      <c r="H35">
        <v>59</v>
      </c>
      <c r="I35">
        <v>32</v>
      </c>
      <c r="J35" s="4">
        <f t="shared" si="0"/>
        <v>54.237288135593218</v>
      </c>
    </row>
    <row r="36" spans="1:10" x14ac:dyDescent="0.2">
      <c r="A36" s="1" t="s">
        <v>34</v>
      </c>
      <c r="B36" t="s">
        <v>103</v>
      </c>
      <c r="C36" t="s">
        <v>117</v>
      </c>
      <c r="G36" s="1" t="s">
        <v>34</v>
      </c>
      <c r="H36">
        <v>35</v>
      </c>
      <c r="I36">
        <v>12</v>
      </c>
      <c r="J36" s="4">
        <f t="shared" si="0"/>
        <v>34.285714285714285</v>
      </c>
    </row>
    <row r="37" spans="1:10" x14ac:dyDescent="0.2">
      <c r="A37" s="1" t="s">
        <v>35</v>
      </c>
      <c r="B37" t="s">
        <v>103</v>
      </c>
      <c r="C37" t="s">
        <v>117</v>
      </c>
      <c r="G37" s="1" t="s">
        <v>35</v>
      </c>
      <c r="H37">
        <v>24</v>
      </c>
      <c r="I37">
        <v>24</v>
      </c>
      <c r="J37" s="4">
        <f t="shared" si="0"/>
        <v>100</v>
      </c>
    </row>
    <row r="38" spans="1:10" x14ac:dyDescent="0.2">
      <c r="A38" s="1" t="s">
        <v>36</v>
      </c>
      <c r="B38" t="s">
        <v>95</v>
      </c>
      <c r="C38" t="s">
        <v>125</v>
      </c>
      <c r="D38" t="s">
        <v>97</v>
      </c>
      <c r="E38" t="s">
        <v>97</v>
      </c>
      <c r="G38" s="1" t="s">
        <v>36</v>
      </c>
      <c r="H38">
        <v>195</v>
      </c>
      <c r="I38">
        <v>67</v>
      </c>
      <c r="J38" s="4">
        <f t="shared" si="0"/>
        <v>34.358974358974358</v>
      </c>
    </row>
    <row r="39" spans="1:10" x14ac:dyDescent="0.2">
      <c r="A39" s="1" t="s">
        <v>37</v>
      </c>
      <c r="B39" t="s">
        <v>95</v>
      </c>
      <c r="C39" t="s">
        <v>125</v>
      </c>
      <c r="D39" t="s">
        <v>97</v>
      </c>
      <c r="E39" t="s">
        <v>97</v>
      </c>
      <c r="G39" s="1" t="s">
        <v>37</v>
      </c>
      <c r="H39">
        <v>176</v>
      </c>
      <c r="I39">
        <v>55</v>
      </c>
      <c r="J39" s="4">
        <f t="shared" si="0"/>
        <v>31.25</v>
      </c>
    </row>
    <row r="40" spans="1:10" x14ac:dyDescent="0.2">
      <c r="A40" s="1" t="s">
        <v>38</v>
      </c>
      <c r="B40" t="s">
        <v>95</v>
      </c>
      <c r="C40" t="s">
        <v>125</v>
      </c>
      <c r="D40" t="s">
        <v>97</v>
      </c>
      <c r="E40" t="s">
        <v>97</v>
      </c>
      <c r="G40" s="1" t="s">
        <v>38</v>
      </c>
      <c r="H40">
        <v>104</v>
      </c>
      <c r="I40">
        <v>6</v>
      </c>
      <c r="J40" s="4">
        <f t="shared" si="0"/>
        <v>5.7692307692307692</v>
      </c>
    </row>
    <row r="41" spans="1:10" x14ac:dyDescent="0.2">
      <c r="A41" s="1" t="s">
        <v>39</v>
      </c>
      <c r="B41" t="s">
        <v>95</v>
      </c>
      <c r="C41" t="s">
        <v>125</v>
      </c>
      <c r="D41" t="s">
        <v>97</v>
      </c>
      <c r="E41" t="s">
        <v>97</v>
      </c>
      <c r="G41" s="1" t="s">
        <v>39</v>
      </c>
      <c r="H41">
        <v>174</v>
      </c>
      <c r="I41">
        <v>62</v>
      </c>
      <c r="J41" s="4">
        <f t="shared" si="0"/>
        <v>35.632183908045981</v>
      </c>
    </row>
    <row r="42" spans="1:10" x14ac:dyDescent="0.2">
      <c r="A42" s="1" t="s">
        <v>40</v>
      </c>
      <c r="B42" t="s">
        <v>95</v>
      </c>
      <c r="C42" t="s">
        <v>125</v>
      </c>
      <c r="D42" t="s">
        <v>97</v>
      </c>
      <c r="E42" t="s">
        <v>97</v>
      </c>
      <c r="G42" s="1" t="s">
        <v>40</v>
      </c>
      <c r="H42">
        <v>74</v>
      </c>
      <c r="I42">
        <v>1</v>
      </c>
      <c r="J42" s="4">
        <f t="shared" si="0"/>
        <v>1.3513513513513513</v>
      </c>
    </row>
    <row r="43" spans="1:10" x14ac:dyDescent="0.2">
      <c r="A43" s="1" t="s">
        <v>41</v>
      </c>
      <c r="B43" t="s">
        <v>95</v>
      </c>
      <c r="C43" t="s">
        <v>125</v>
      </c>
      <c r="D43" t="s">
        <v>97</v>
      </c>
      <c r="E43" t="s">
        <v>97</v>
      </c>
      <c r="G43" s="1" t="s">
        <v>41</v>
      </c>
      <c r="H43">
        <v>124</v>
      </c>
      <c r="I43">
        <v>3</v>
      </c>
      <c r="J43" s="4">
        <f t="shared" si="0"/>
        <v>2.4193548387096775</v>
      </c>
    </row>
    <row r="44" spans="1:10" x14ac:dyDescent="0.2">
      <c r="A44" s="1" t="s">
        <v>42</v>
      </c>
      <c r="B44" t="s">
        <v>95</v>
      </c>
      <c r="C44" t="s">
        <v>125</v>
      </c>
      <c r="D44" t="s">
        <v>97</v>
      </c>
      <c r="E44" t="s">
        <v>97</v>
      </c>
      <c r="G44" s="1" t="s">
        <v>42</v>
      </c>
      <c r="H44">
        <v>204</v>
      </c>
      <c r="I44">
        <v>55</v>
      </c>
      <c r="J44" s="4">
        <f t="shared" si="0"/>
        <v>26.96078431372549</v>
      </c>
    </row>
    <row r="45" spans="1:10" x14ac:dyDescent="0.2">
      <c r="A45" s="1" t="s">
        <v>43</v>
      </c>
      <c r="B45" t="s">
        <v>103</v>
      </c>
      <c r="C45" t="s">
        <v>117</v>
      </c>
      <c r="G45" s="1" t="s">
        <v>43</v>
      </c>
      <c r="H45">
        <v>177</v>
      </c>
      <c r="I45">
        <v>57</v>
      </c>
      <c r="J45" s="4">
        <f t="shared" si="0"/>
        <v>32.20338983050847</v>
      </c>
    </row>
    <row r="46" spans="1:10" x14ac:dyDescent="0.2">
      <c r="A46" s="1" t="s">
        <v>44</v>
      </c>
      <c r="B46" t="s">
        <v>95</v>
      </c>
      <c r="C46" t="s">
        <v>124</v>
      </c>
      <c r="D46" s="3" t="s">
        <v>123</v>
      </c>
      <c r="E46" t="s">
        <v>148</v>
      </c>
      <c r="G46" s="1" t="s">
        <v>44</v>
      </c>
      <c r="H46">
        <v>31</v>
      </c>
      <c r="I46">
        <v>1</v>
      </c>
      <c r="J46" s="4">
        <f t="shared" si="0"/>
        <v>3.225806451612903</v>
      </c>
    </row>
    <row r="47" spans="1:10" x14ac:dyDescent="0.2">
      <c r="A47" s="1" t="s">
        <v>45</v>
      </c>
      <c r="B47" t="s">
        <v>103</v>
      </c>
      <c r="C47" t="s">
        <v>117</v>
      </c>
      <c r="G47" s="1" t="s">
        <v>45</v>
      </c>
      <c r="H47">
        <v>42</v>
      </c>
      <c r="I47">
        <v>15</v>
      </c>
      <c r="J47" s="4">
        <f t="shared" si="0"/>
        <v>35.714285714285715</v>
      </c>
    </row>
    <row r="48" spans="1:10" x14ac:dyDescent="0.2">
      <c r="A48" s="1" t="s">
        <v>46</v>
      </c>
      <c r="B48" t="s">
        <v>103</v>
      </c>
      <c r="C48" t="s">
        <v>117</v>
      </c>
      <c r="G48" s="1" t="s">
        <v>46</v>
      </c>
      <c r="H48">
        <v>142</v>
      </c>
      <c r="I48">
        <v>10</v>
      </c>
      <c r="J48" s="4">
        <f t="shared" si="0"/>
        <v>7.042253521126761</v>
      </c>
    </row>
    <row r="49" spans="1:10" x14ac:dyDescent="0.2">
      <c r="A49" s="1" t="s">
        <v>47</v>
      </c>
      <c r="B49" t="s">
        <v>103</v>
      </c>
      <c r="C49" t="s">
        <v>117</v>
      </c>
      <c r="G49" s="1" t="s">
        <v>47</v>
      </c>
      <c r="H49">
        <v>346</v>
      </c>
      <c r="I49">
        <v>18</v>
      </c>
      <c r="J49" s="4">
        <f t="shared" si="0"/>
        <v>5.202312138728324</v>
      </c>
    </row>
    <row r="50" spans="1:10" x14ac:dyDescent="0.2">
      <c r="A50" s="1" t="s">
        <v>48</v>
      </c>
      <c r="B50" t="s">
        <v>95</v>
      </c>
      <c r="C50" t="s">
        <v>119</v>
      </c>
      <c r="D50" s="3" t="s">
        <v>118</v>
      </c>
      <c r="E50" t="s">
        <v>148</v>
      </c>
      <c r="G50" s="1" t="s">
        <v>48</v>
      </c>
      <c r="H50">
        <v>336</v>
      </c>
      <c r="I50">
        <v>1</v>
      </c>
      <c r="J50" s="4">
        <f t="shared" si="0"/>
        <v>0.29761904761904762</v>
      </c>
    </row>
    <row r="51" spans="1:10" x14ac:dyDescent="0.2">
      <c r="A51" s="1" t="s">
        <v>49</v>
      </c>
      <c r="B51" t="s">
        <v>103</v>
      </c>
      <c r="C51" t="s">
        <v>117</v>
      </c>
      <c r="G51" s="1" t="s">
        <v>49</v>
      </c>
      <c r="H51">
        <v>273</v>
      </c>
      <c r="I51">
        <v>14</v>
      </c>
      <c r="J51" s="4">
        <f t="shared" si="0"/>
        <v>5.1282051282051277</v>
      </c>
    </row>
    <row r="52" spans="1:10" x14ac:dyDescent="0.2">
      <c r="A52" s="1" t="s">
        <v>50</v>
      </c>
      <c r="B52" s="5" t="s">
        <v>95</v>
      </c>
      <c r="C52" t="s">
        <v>141</v>
      </c>
      <c r="D52" s="5" t="s">
        <v>142</v>
      </c>
      <c r="E52" t="s">
        <v>97</v>
      </c>
      <c r="G52" s="1" t="s">
        <v>50</v>
      </c>
      <c r="H52">
        <v>49</v>
      </c>
      <c r="I52">
        <v>7</v>
      </c>
      <c r="J52" s="4">
        <f t="shared" si="0"/>
        <v>14.285714285714285</v>
      </c>
    </row>
    <row r="53" spans="1:10" x14ac:dyDescent="0.2">
      <c r="A53" s="1" t="s">
        <v>51</v>
      </c>
      <c r="B53" s="5" t="s">
        <v>95</v>
      </c>
      <c r="C53" t="s">
        <v>141</v>
      </c>
      <c r="D53" s="5" t="s">
        <v>142</v>
      </c>
      <c r="E53" t="s">
        <v>97</v>
      </c>
      <c r="G53" s="1" t="s">
        <v>51</v>
      </c>
      <c r="H53">
        <v>60</v>
      </c>
      <c r="I53">
        <v>7</v>
      </c>
      <c r="J53" s="4">
        <f t="shared" si="0"/>
        <v>11.666666666666666</v>
      </c>
    </row>
    <row r="54" spans="1:10" x14ac:dyDescent="0.2">
      <c r="A54" s="1" t="s">
        <v>52</v>
      </c>
      <c r="B54" t="s">
        <v>95</v>
      </c>
      <c r="C54" t="s">
        <v>139</v>
      </c>
      <c r="D54" t="s">
        <v>138</v>
      </c>
      <c r="E54" t="s">
        <v>138</v>
      </c>
      <c r="G54" s="1" t="s">
        <v>52</v>
      </c>
      <c r="H54">
        <v>48</v>
      </c>
      <c r="I54">
        <v>4</v>
      </c>
      <c r="J54" s="4">
        <f t="shared" si="0"/>
        <v>8.3333333333333321</v>
      </c>
    </row>
    <row r="55" spans="1:10" s="3" customFormat="1" x14ac:dyDescent="0.2">
      <c r="A55" s="6" t="s">
        <v>53</v>
      </c>
      <c r="B55" s="3" t="s">
        <v>95</v>
      </c>
      <c r="C55" s="3" t="s">
        <v>151</v>
      </c>
      <c r="D55" s="3" t="s">
        <v>138</v>
      </c>
      <c r="E55" s="3" t="s">
        <v>153</v>
      </c>
      <c r="G55" s="6" t="s">
        <v>53</v>
      </c>
      <c r="H55" s="3">
        <v>52</v>
      </c>
      <c r="I55" s="3">
        <v>12</v>
      </c>
      <c r="J55" s="7">
        <f t="shared" si="0"/>
        <v>23.076923076923077</v>
      </c>
    </row>
    <row r="56" spans="1:10" s="3" customFormat="1" x14ac:dyDescent="0.2">
      <c r="A56" s="6" t="s">
        <v>54</v>
      </c>
      <c r="B56" s="3" t="s">
        <v>95</v>
      </c>
      <c r="C56" s="3" t="s">
        <v>152</v>
      </c>
      <c r="D56" s="3" t="s">
        <v>140</v>
      </c>
      <c r="E56" s="3" t="s">
        <v>154</v>
      </c>
      <c r="G56" s="6" t="s">
        <v>54</v>
      </c>
      <c r="H56" s="3">
        <v>45</v>
      </c>
      <c r="I56" s="3">
        <v>13</v>
      </c>
      <c r="J56" s="7">
        <f t="shared" si="0"/>
        <v>28.888888888888886</v>
      </c>
    </row>
    <row r="57" spans="1:10" x14ac:dyDescent="0.2">
      <c r="A57" s="1" t="s">
        <v>55</v>
      </c>
      <c r="B57" s="5" t="s">
        <v>95</v>
      </c>
      <c r="C57" t="s">
        <v>141</v>
      </c>
      <c r="D57" s="5" t="s">
        <v>142</v>
      </c>
      <c r="E57" t="s">
        <v>97</v>
      </c>
      <c r="G57" s="1" t="s">
        <v>55</v>
      </c>
      <c r="H57">
        <v>73</v>
      </c>
      <c r="I57">
        <v>10</v>
      </c>
      <c r="J57" s="4">
        <f t="shared" si="0"/>
        <v>13.698630136986301</v>
      </c>
    </row>
    <row r="58" spans="1:10" x14ac:dyDescent="0.2">
      <c r="A58" s="1" t="s">
        <v>56</v>
      </c>
      <c r="B58" s="5" t="s">
        <v>95</v>
      </c>
      <c r="C58" t="s">
        <v>141</v>
      </c>
      <c r="D58" s="5" t="s">
        <v>142</v>
      </c>
      <c r="E58" t="s">
        <v>97</v>
      </c>
      <c r="G58" s="1" t="s">
        <v>56</v>
      </c>
      <c r="H58">
        <v>70</v>
      </c>
      <c r="I58">
        <v>10</v>
      </c>
      <c r="J58" s="4">
        <f t="shared" si="0"/>
        <v>14.285714285714285</v>
      </c>
    </row>
    <row r="59" spans="1:10" x14ac:dyDescent="0.2">
      <c r="A59" s="1" t="s">
        <v>57</v>
      </c>
      <c r="B59" s="5" t="s">
        <v>95</v>
      </c>
      <c r="C59" t="s">
        <v>141</v>
      </c>
      <c r="D59" s="5" t="s">
        <v>142</v>
      </c>
      <c r="E59" t="s">
        <v>97</v>
      </c>
      <c r="G59" s="1" t="s">
        <v>57</v>
      </c>
      <c r="H59">
        <v>83</v>
      </c>
      <c r="I59">
        <v>11</v>
      </c>
      <c r="J59" s="4">
        <f t="shared" si="0"/>
        <v>13.253012048192772</v>
      </c>
    </row>
    <row r="60" spans="1:10" x14ac:dyDescent="0.2">
      <c r="A60" s="1" t="s">
        <v>58</v>
      </c>
      <c r="B60" t="s">
        <v>95</v>
      </c>
      <c r="C60" t="s">
        <v>139</v>
      </c>
      <c r="D60" t="s">
        <v>138</v>
      </c>
      <c r="E60" t="s">
        <v>138</v>
      </c>
      <c r="G60" s="1" t="s">
        <v>58</v>
      </c>
      <c r="H60">
        <v>59</v>
      </c>
      <c r="I60">
        <v>5</v>
      </c>
      <c r="J60" s="4">
        <f t="shared" si="0"/>
        <v>8.4745762711864394</v>
      </c>
    </row>
    <row r="61" spans="1:10" x14ac:dyDescent="0.2">
      <c r="A61" s="1" t="s">
        <v>59</v>
      </c>
      <c r="B61" t="s">
        <v>95</v>
      </c>
      <c r="C61" t="s">
        <v>139</v>
      </c>
      <c r="D61" t="s">
        <v>138</v>
      </c>
      <c r="E61" t="s">
        <v>138</v>
      </c>
      <c r="G61" s="1" t="s">
        <v>59</v>
      </c>
      <c r="H61">
        <v>41</v>
      </c>
      <c r="I61">
        <v>4</v>
      </c>
      <c r="J61" s="4">
        <f t="shared" si="0"/>
        <v>9.7560975609756095</v>
      </c>
    </row>
    <row r="62" spans="1:10" x14ac:dyDescent="0.2">
      <c r="A62" s="1" t="s">
        <v>60</v>
      </c>
      <c r="B62" s="5" t="s">
        <v>95</v>
      </c>
      <c r="C62" t="s">
        <v>141</v>
      </c>
      <c r="D62" s="5" t="s">
        <v>142</v>
      </c>
      <c r="E62" t="s">
        <v>97</v>
      </c>
      <c r="G62" s="1" t="s">
        <v>60</v>
      </c>
      <c r="H62">
        <v>82</v>
      </c>
      <c r="I62">
        <v>10</v>
      </c>
      <c r="J62" s="4">
        <f t="shared" si="0"/>
        <v>12.195121951219512</v>
      </c>
    </row>
    <row r="63" spans="1:10" x14ac:dyDescent="0.2">
      <c r="A63" s="1" t="s">
        <v>61</v>
      </c>
      <c r="B63" t="s">
        <v>103</v>
      </c>
      <c r="C63" t="s">
        <v>141</v>
      </c>
      <c r="D63" s="5"/>
      <c r="G63" s="1" t="s">
        <v>61</v>
      </c>
      <c r="H63">
        <v>64</v>
      </c>
      <c r="I63">
        <v>3</v>
      </c>
      <c r="J63" s="4">
        <f t="shared" si="0"/>
        <v>4.6875</v>
      </c>
    </row>
    <row r="64" spans="1:10" x14ac:dyDescent="0.2">
      <c r="A64" s="1" t="s">
        <v>62</v>
      </c>
      <c r="B64" s="5" t="s">
        <v>95</v>
      </c>
      <c r="C64" t="s">
        <v>141</v>
      </c>
      <c r="D64" s="5" t="s">
        <v>142</v>
      </c>
      <c r="E64" t="s">
        <v>97</v>
      </c>
      <c r="G64" s="1" t="s">
        <v>62</v>
      </c>
      <c r="H64">
        <v>65</v>
      </c>
      <c r="I64">
        <v>7</v>
      </c>
      <c r="J64" s="4">
        <f t="shared" si="0"/>
        <v>10.76923076923077</v>
      </c>
    </row>
    <row r="65" spans="1:10" x14ac:dyDescent="0.2">
      <c r="A65" s="1" t="s">
        <v>63</v>
      </c>
      <c r="B65" s="5" t="s">
        <v>95</v>
      </c>
      <c r="C65" t="s">
        <v>141</v>
      </c>
      <c r="D65" s="5" t="s">
        <v>142</v>
      </c>
      <c r="E65" t="s">
        <v>97</v>
      </c>
      <c r="G65" s="1" t="s">
        <v>63</v>
      </c>
      <c r="H65">
        <v>42</v>
      </c>
      <c r="I65">
        <v>6</v>
      </c>
      <c r="J65" s="4">
        <f t="shared" si="0"/>
        <v>14.285714285714285</v>
      </c>
    </row>
    <row r="66" spans="1:10" x14ac:dyDescent="0.2">
      <c r="A66" s="1" t="s">
        <v>64</v>
      </c>
      <c r="B66" t="s">
        <v>95</v>
      </c>
      <c r="C66" t="s">
        <v>143</v>
      </c>
      <c r="D66" s="3" t="s">
        <v>144</v>
      </c>
      <c r="E66" t="s">
        <v>148</v>
      </c>
      <c r="G66" s="1" t="s">
        <v>64</v>
      </c>
      <c r="H66">
        <v>44</v>
      </c>
      <c r="I66">
        <v>5</v>
      </c>
      <c r="J66" s="4">
        <f t="shared" si="0"/>
        <v>11.363636363636363</v>
      </c>
    </row>
    <row r="67" spans="1:10" x14ac:dyDescent="0.2">
      <c r="A67" s="1" t="s">
        <v>65</v>
      </c>
      <c r="B67" t="s">
        <v>95</v>
      </c>
      <c r="C67" t="s">
        <v>145</v>
      </c>
      <c r="D67" t="s">
        <v>150</v>
      </c>
      <c r="E67" t="s">
        <v>155</v>
      </c>
      <c r="G67" s="1" t="s">
        <v>65</v>
      </c>
      <c r="H67">
        <v>61</v>
      </c>
      <c r="I67">
        <v>10</v>
      </c>
      <c r="J67" s="4">
        <f t="shared" ref="J67:J93" si="1">I67/H67*100</f>
        <v>16.393442622950818</v>
      </c>
    </row>
    <row r="68" spans="1:10" x14ac:dyDescent="0.2">
      <c r="A68" s="1" t="s">
        <v>66</v>
      </c>
      <c r="B68" s="5" t="s">
        <v>95</v>
      </c>
      <c r="C68" t="s">
        <v>141</v>
      </c>
      <c r="D68" s="5" t="s">
        <v>142</v>
      </c>
      <c r="E68" t="s">
        <v>97</v>
      </c>
      <c r="G68" s="1" t="s">
        <v>66</v>
      </c>
      <c r="H68">
        <v>80</v>
      </c>
      <c r="I68">
        <v>7</v>
      </c>
      <c r="J68" s="4">
        <f t="shared" si="1"/>
        <v>8.75</v>
      </c>
    </row>
    <row r="69" spans="1:10" x14ac:dyDescent="0.2">
      <c r="A69" s="1" t="s">
        <v>67</v>
      </c>
      <c r="B69" t="s">
        <v>95</v>
      </c>
      <c r="C69" t="s">
        <v>139</v>
      </c>
      <c r="D69" t="s">
        <v>138</v>
      </c>
      <c r="E69" t="s">
        <v>138</v>
      </c>
      <c r="G69" s="1" t="s">
        <v>67</v>
      </c>
      <c r="H69">
        <v>41</v>
      </c>
      <c r="I69">
        <v>5</v>
      </c>
      <c r="J69" s="4">
        <f t="shared" si="1"/>
        <v>12.195121951219512</v>
      </c>
    </row>
    <row r="70" spans="1:10" x14ac:dyDescent="0.2">
      <c r="A70" s="1" t="s">
        <v>68</v>
      </c>
      <c r="B70" t="s">
        <v>95</v>
      </c>
      <c r="C70" t="s">
        <v>146</v>
      </c>
      <c r="D70" t="s">
        <v>138</v>
      </c>
      <c r="E70" t="s">
        <v>153</v>
      </c>
      <c r="G70" s="1" t="s">
        <v>68</v>
      </c>
      <c r="H70">
        <v>66</v>
      </c>
      <c r="I70">
        <v>5</v>
      </c>
      <c r="J70" s="4">
        <f t="shared" si="1"/>
        <v>7.5757575757575761</v>
      </c>
    </row>
    <row r="71" spans="1:10" x14ac:dyDescent="0.2">
      <c r="A71" s="1" t="s">
        <v>69</v>
      </c>
      <c r="B71" t="s">
        <v>95</v>
      </c>
      <c r="C71" t="s">
        <v>139</v>
      </c>
      <c r="D71" t="s">
        <v>138</v>
      </c>
      <c r="E71" t="s">
        <v>138</v>
      </c>
      <c r="G71" s="1" t="s">
        <v>69</v>
      </c>
      <c r="H71">
        <v>42</v>
      </c>
      <c r="I71">
        <v>4</v>
      </c>
      <c r="J71" s="4">
        <f t="shared" si="1"/>
        <v>9.5238095238095237</v>
      </c>
    </row>
    <row r="72" spans="1:10" x14ac:dyDescent="0.2">
      <c r="A72" s="1" t="s">
        <v>70</v>
      </c>
      <c r="B72" t="s">
        <v>95</v>
      </c>
      <c r="C72" t="s">
        <v>115</v>
      </c>
      <c r="D72" t="s">
        <v>116</v>
      </c>
      <c r="E72" t="s">
        <v>97</v>
      </c>
      <c r="G72" s="1" t="s">
        <v>70</v>
      </c>
      <c r="H72">
        <v>108</v>
      </c>
      <c r="I72">
        <v>1</v>
      </c>
      <c r="J72" s="4">
        <f t="shared" si="1"/>
        <v>0.92592592592592582</v>
      </c>
    </row>
    <row r="73" spans="1:10" x14ac:dyDescent="0.2">
      <c r="A73" s="1" t="s">
        <v>71</v>
      </c>
      <c r="B73" t="s">
        <v>95</v>
      </c>
      <c r="C73" t="s">
        <v>114</v>
      </c>
      <c r="D73" s="3" t="s">
        <v>113</v>
      </c>
      <c r="E73" t="s">
        <v>148</v>
      </c>
      <c r="G73" s="1" t="s">
        <v>71</v>
      </c>
      <c r="H73">
        <v>74</v>
      </c>
      <c r="J73" s="4">
        <f t="shared" si="1"/>
        <v>0</v>
      </c>
    </row>
    <row r="74" spans="1:10" x14ac:dyDescent="0.2">
      <c r="A74" s="1" t="s">
        <v>72</v>
      </c>
      <c r="B74" t="s">
        <v>95</v>
      </c>
      <c r="C74" t="s">
        <v>111</v>
      </c>
      <c r="D74" s="3" t="s">
        <v>112</v>
      </c>
      <c r="E74" t="s">
        <v>148</v>
      </c>
      <c r="G74" s="1" t="s">
        <v>72</v>
      </c>
      <c r="H74">
        <v>16</v>
      </c>
      <c r="J74" s="4">
        <f t="shared" si="1"/>
        <v>0</v>
      </c>
    </row>
    <row r="75" spans="1:10" x14ac:dyDescent="0.2">
      <c r="A75" s="1" t="s">
        <v>73</v>
      </c>
      <c r="B75" t="s">
        <v>95</v>
      </c>
      <c r="C75" t="s">
        <v>110</v>
      </c>
      <c r="D75" s="3" t="s">
        <v>109</v>
      </c>
      <c r="E75" t="s">
        <v>148</v>
      </c>
      <c r="G75" s="1" t="s">
        <v>73</v>
      </c>
      <c r="H75">
        <v>9</v>
      </c>
      <c r="J75" s="4">
        <f t="shared" si="1"/>
        <v>0</v>
      </c>
    </row>
    <row r="76" spans="1:10" x14ac:dyDescent="0.2">
      <c r="A76" s="1" t="s">
        <v>74</v>
      </c>
      <c r="B76" t="s">
        <v>103</v>
      </c>
      <c r="C76" t="s">
        <v>108</v>
      </c>
      <c r="G76" s="1" t="s">
        <v>74</v>
      </c>
      <c r="H76">
        <v>117</v>
      </c>
      <c r="I76">
        <v>15</v>
      </c>
      <c r="J76" s="4">
        <f t="shared" si="1"/>
        <v>12.820512820512819</v>
      </c>
    </row>
    <row r="77" spans="1:10" x14ac:dyDescent="0.2">
      <c r="A77" s="1" t="s">
        <v>75</v>
      </c>
      <c r="B77" t="s">
        <v>95</v>
      </c>
      <c r="C77" t="s">
        <v>107</v>
      </c>
      <c r="D77" s="3" t="s">
        <v>106</v>
      </c>
      <c r="E77" t="s">
        <v>148</v>
      </c>
      <c r="G77" s="1" t="s">
        <v>75</v>
      </c>
      <c r="H77">
        <v>8</v>
      </c>
      <c r="J77" s="4">
        <f t="shared" si="1"/>
        <v>0</v>
      </c>
    </row>
    <row r="78" spans="1:10" x14ac:dyDescent="0.2">
      <c r="A78" s="1" t="s">
        <v>76</v>
      </c>
      <c r="B78" t="s">
        <v>95</v>
      </c>
      <c r="C78" t="s">
        <v>107</v>
      </c>
      <c r="D78" s="3" t="s">
        <v>106</v>
      </c>
      <c r="E78" t="s">
        <v>148</v>
      </c>
      <c r="G78" s="1" t="s">
        <v>76</v>
      </c>
      <c r="H78">
        <v>14</v>
      </c>
      <c r="J78" s="4">
        <f t="shared" si="1"/>
        <v>0</v>
      </c>
    </row>
    <row r="79" spans="1:10" x14ac:dyDescent="0.2">
      <c r="A79" s="1" t="s">
        <v>77</v>
      </c>
      <c r="B79" t="s">
        <v>95</v>
      </c>
      <c r="C79" t="s">
        <v>107</v>
      </c>
      <c r="D79" s="3" t="s">
        <v>106</v>
      </c>
      <c r="E79" t="s">
        <v>148</v>
      </c>
      <c r="G79" s="1" t="s">
        <v>77</v>
      </c>
      <c r="H79">
        <v>14</v>
      </c>
      <c r="J79" s="4">
        <f t="shared" si="1"/>
        <v>0</v>
      </c>
    </row>
    <row r="80" spans="1:10" x14ac:dyDescent="0.2">
      <c r="A80" s="1" t="s">
        <v>78</v>
      </c>
      <c r="B80" t="s">
        <v>103</v>
      </c>
      <c r="C80" t="s">
        <v>105</v>
      </c>
      <c r="G80" s="1" t="s">
        <v>78</v>
      </c>
      <c r="H80">
        <v>54</v>
      </c>
      <c r="I80">
        <v>10</v>
      </c>
      <c r="J80" s="4">
        <f t="shared" si="1"/>
        <v>18.518518518518519</v>
      </c>
    </row>
    <row r="81" spans="1:10" x14ac:dyDescent="0.2">
      <c r="A81" s="1" t="s">
        <v>79</v>
      </c>
      <c r="B81" t="s">
        <v>103</v>
      </c>
      <c r="C81" t="s">
        <v>104</v>
      </c>
      <c r="G81" s="1" t="s">
        <v>79</v>
      </c>
      <c r="H81">
        <v>72</v>
      </c>
      <c r="I81">
        <v>5</v>
      </c>
      <c r="J81" s="4">
        <f t="shared" si="1"/>
        <v>6.9444444444444446</v>
      </c>
    </row>
    <row r="82" spans="1:10" x14ac:dyDescent="0.2">
      <c r="A82" s="1" t="s">
        <v>80</v>
      </c>
      <c r="B82" t="s">
        <v>95</v>
      </c>
      <c r="C82" t="s">
        <v>135</v>
      </c>
      <c r="D82" s="3" t="s">
        <v>134</v>
      </c>
      <c r="E82" t="s">
        <v>149</v>
      </c>
      <c r="G82" s="1" t="s">
        <v>80</v>
      </c>
      <c r="H82">
        <v>29</v>
      </c>
      <c r="I82">
        <v>6</v>
      </c>
      <c r="J82" s="4">
        <f t="shared" si="1"/>
        <v>20.689655172413794</v>
      </c>
    </row>
    <row r="83" spans="1:10" x14ac:dyDescent="0.2">
      <c r="A83" s="1" t="s">
        <v>81</v>
      </c>
      <c r="B83" t="s">
        <v>95</v>
      </c>
      <c r="C83" t="s">
        <v>135</v>
      </c>
      <c r="D83" s="3" t="s">
        <v>134</v>
      </c>
      <c r="E83" t="s">
        <v>149</v>
      </c>
      <c r="G83" s="1" t="s">
        <v>81</v>
      </c>
      <c r="H83">
        <v>46</v>
      </c>
      <c r="I83">
        <v>2</v>
      </c>
      <c r="J83" s="4">
        <f t="shared" si="1"/>
        <v>4.3478260869565215</v>
      </c>
    </row>
    <row r="84" spans="1:10" x14ac:dyDescent="0.2">
      <c r="A84" s="1" t="s">
        <v>82</v>
      </c>
      <c r="B84" t="s">
        <v>95</v>
      </c>
      <c r="C84" t="s">
        <v>102</v>
      </c>
      <c r="D84" t="s">
        <v>97</v>
      </c>
      <c r="E84" t="s">
        <v>97</v>
      </c>
      <c r="G84" s="1" t="s">
        <v>82</v>
      </c>
      <c r="H84">
        <v>189</v>
      </c>
      <c r="I84">
        <v>7</v>
      </c>
      <c r="J84" s="4">
        <f t="shared" si="1"/>
        <v>3.7037037037037033</v>
      </c>
    </row>
    <row r="85" spans="1:10" x14ac:dyDescent="0.2">
      <c r="A85" s="1" t="s">
        <v>83</v>
      </c>
      <c r="B85" t="s">
        <v>95</v>
      </c>
      <c r="C85" t="s">
        <v>135</v>
      </c>
      <c r="D85" s="3" t="s">
        <v>134</v>
      </c>
      <c r="E85" t="s">
        <v>149</v>
      </c>
      <c r="G85" s="1" t="s">
        <v>83</v>
      </c>
      <c r="H85">
        <v>52</v>
      </c>
      <c r="I85">
        <v>11</v>
      </c>
      <c r="J85" s="4">
        <f t="shared" si="1"/>
        <v>21.153846153846153</v>
      </c>
    </row>
    <row r="86" spans="1:10" x14ac:dyDescent="0.2">
      <c r="A86" s="1" t="s">
        <v>84</v>
      </c>
      <c r="B86" t="s">
        <v>95</v>
      </c>
      <c r="C86" t="s">
        <v>102</v>
      </c>
      <c r="D86" t="s">
        <v>97</v>
      </c>
      <c r="E86" t="s">
        <v>97</v>
      </c>
      <c r="G86" s="1" t="s">
        <v>84</v>
      </c>
      <c r="H86">
        <v>306</v>
      </c>
      <c r="I86">
        <v>7</v>
      </c>
      <c r="J86" s="4">
        <f t="shared" si="1"/>
        <v>2.2875816993464051</v>
      </c>
    </row>
    <row r="87" spans="1:10" x14ac:dyDescent="0.2">
      <c r="A87" s="1" t="s">
        <v>85</v>
      </c>
      <c r="B87" t="s">
        <v>95</v>
      </c>
      <c r="C87" t="s">
        <v>101</v>
      </c>
      <c r="D87" t="s">
        <v>97</v>
      </c>
      <c r="E87" t="s">
        <v>97</v>
      </c>
      <c r="G87" s="1" t="s">
        <v>85</v>
      </c>
      <c r="H87">
        <v>124</v>
      </c>
      <c r="I87">
        <v>14</v>
      </c>
      <c r="J87" s="4">
        <f t="shared" si="1"/>
        <v>11.29032258064516</v>
      </c>
    </row>
    <row r="88" spans="1:10" x14ac:dyDescent="0.2">
      <c r="A88" s="1" t="s">
        <v>86</v>
      </c>
      <c r="B88" t="s">
        <v>95</v>
      </c>
      <c r="C88" t="s">
        <v>135</v>
      </c>
      <c r="D88" s="3" t="s">
        <v>134</v>
      </c>
      <c r="E88" t="s">
        <v>149</v>
      </c>
      <c r="G88" s="1" t="s">
        <v>86</v>
      </c>
      <c r="H88">
        <v>30</v>
      </c>
      <c r="I88">
        <v>5</v>
      </c>
      <c r="J88" s="4">
        <f t="shared" si="1"/>
        <v>16.666666666666664</v>
      </c>
    </row>
    <row r="89" spans="1:10" x14ac:dyDescent="0.2">
      <c r="A89" s="1" t="s">
        <v>87</v>
      </c>
      <c r="B89" t="s">
        <v>95</v>
      </c>
      <c r="C89" t="s">
        <v>135</v>
      </c>
      <c r="D89" s="3" t="s">
        <v>134</v>
      </c>
      <c r="E89" t="s">
        <v>149</v>
      </c>
      <c r="G89" s="1" t="s">
        <v>87</v>
      </c>
      <c r="H89">
        <v>27</v>
      </c>
      <c r="I89">
        <v>6</v>
      </c>
      <c r="J89" s="4">
        <f t="shared" si="1"/>
        <v>22.222222222222221</v>
      </c>
    </row>
    <row r="90" spans="1:10" x14ac:dyDescent="0.2">
      <c r="A90" s="1" t="s">
        <v>88</v>
      </c>
      <c r="B90" t="s">
        <v>95</v>
      </c>
      <c r="C90" t="s">
        <v>135</v>
      </c>
      <c r="D90" s="3" t="s">
        <v>134</v>
      </c>
      <c r="E90" t="s">
        <v>149</v>
      </c>
      <c r="G90" s="1" t="s">
        <v>88</v>
      </c>
      <c r="H90">
        <v>24</v>
      </c>
      <c r="I90">
        <v>15</v>
      </c>
      <c r="J90" s="4">
        <f t="shared" si="1"/>
        <v>62.5</v>
      </c>
    </row>
    <row r="91" spans="1:10" x14ac:dyDescent="0.2">
      <c r="A91" s="1" t="s">
        <v>89</v>
      </c>
      <c r="B91" t="s">
        <v>95</v>
      </c>
      <c r="C91" t="s">
        <v>100</v>
      </c>
      <c r="D91" s="3" t="s">
        <v>99</v>
      </c>
      <c r="E91" t="s">
        <v>148</v>
      </c>
      <c r="G91" s="1" t="s">
        <v>89</v>
      </c>
      <c r="H91">
        <v>158</v>
      </c>
      <c r="J91" s="4">
        <f t="shared" si="1"/>
        <v>0</v>
      </c>
    </row>
    <row r="92" spans="1:10" x14ac:dyDescent="0.2">
      <c r="A92" s="1" t="s">
        <v>90</v>
      </c>
      <c r="B92" t="s">
        <v>95</v>
      </c>
      <c r="C92" t="s">
        <v>98</v>
      </c>
      <c r="D92" t="s">
        <v>97</v>
      </c>
      <c r="E92" t="s">
        <v>97</v>
      </c>
      <c r="G92" s="1" t="s">
        <v>90</v>
      </c>
      <c r="H92">
        <v>80</v>
      </c>
      <c r="I92">
        <v>6</v>
      </c>
      <c r="J92" s="4">
        <f t="shared" si="1"/>
        <v>7.5</v>
      </c>
    </row>
    <row r="93" spans="1:10" x14ac:dyDescent="0.2">
      <c r="A93" s="1" t="s">
        <v>91</v>
      </c>
      <c r="B93" t="s">
        <v>95</v>
      </c>
      <c r="C93" t="s">
        <v>98</v>
      </c>
      <c r="D93" t="s">
        <v>97</v>
      </c>
      <c r="E93" t="s">
        <v>97</v>
      </c>
      <c r="G93" s="1" t="s">
        <v>91</v>
      </c>
      <c r="H93">
        <v>81</v>
      </c>
      <c r="J93" s="4">
        <f t="shared" si="1"/>
        <v>0</v>
      </c>
    </row>
  </sheetData>
  <autoFilter ref="A1:J93" xr:uid="{B67E6CAC-1EC7-154B-AD4E-BE8BC8842676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CUCHEROUSSET</dc:creator>
  <cp:lastModifiedBy>Marie Gutgesell</cp:lastModifiedBy>
  <dcterms:created xsi:type="dcterms:W3CDTF">2026-07-21T06:56:12Z</dcterms:created>
  <dcterms:modified xsi:type="dcterms:W3CDTF">2026-07-30T09:19:16Z</dcterms:modified>
</cp:coreProperties>
</file>